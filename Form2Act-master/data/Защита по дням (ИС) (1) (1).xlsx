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5\Desktop\Form2Act-master\data\"/>
    </mc:Choice>
  </mc:AlternateContent>
  <xr:revisionPtr revIDLastSave="0" documentId="13_ncr:1_{457AE73C-4604-4CED-B360-CC8AA837F7E5}" xr6:coauthVersionLast="36" xr6:coauthVersionMax="36" xr10:uidLastSave="{00000000-0000-0000-0000-000000000000}"/>
  <bookViews>
    <workbookView xWindow="0" yWindow="0" windowWidth="23655" windowHeight="7965" xr2:uid="{00000000-000D-0000-FFFF-FFFF00000000}"/>
  </bookViews>
  <sheets>
    <sheet name="16.06.25" sheetId="1" r:id="rId1"/>
    <sheet name="17.06.25" sheetId="4" r:id="rId2"/>
    <sheet name="18.06.25" sheetId="5" r:id="rId3"/>
    <sheet name="19.06.25" sheetId="6" r:id="rId4"/>
    <sheet name="20.06.25" sheetId="7" r:id="rId5"/>
    <sheet name="21.06.25 (заочка)" sheetId="13" r:id="rId6"/>
    <sheet name="23.06.25" sheetId="8" r:id="rId7"/>
    <sheet name="24.06.25" sheetId="9" r:id="rId8"/>
    <sheet name="25.06.25" sheetId="10" r:id="rId9"/>
    <sheet name="26.06.25" sheetId="11" r:id="rId10"/>
    <sheet name="Лист1" sheetId="12" r:id="rId11"/>
  </sheets>
  <calcPr calcId="191029"/>
</workbook>
</file>

<file path=xl/calcChain.xml><?xml version="1.0" encoding="utf-8"?>
<calcChain xmlns="http://schemas.openxmlformats.org/spreadsheetml/2006/main">
  <c r="E9" i="7" l="1"/>
  <c r="E3" i="8" s="1"/>
  <c r="E15" i="6"/>
  <c r="C9" i="12"/>
  <c r="E3" i="13" l="1"/>
</calcChain>
</file>

<file path=xl/sharedStrings.xml><?xml version="1.0" encoding="utf-8"?>
<sst xmlns="http://schemas.openxmlformats.org/spreadsheetml/2006/main" count="376" uniqueCount="130">
  <si>
    <t>№</t>
  </si>
  <si>
    <t>ФИО студента</t>
  </si>
  <si>
    <t>Дипломный руководитель</t>
  </si>
  <si>
    <t>Кондратов Кирилл Алексеевич</t>
  </si>
  <si>
    <t>Кузнецов Арсентий Дмитриевич</t>
  </si>
  <si>
    <t>Марков Олег Игоревич</t>
  </si>
  <si>
    <t>Смирнов Павел Сергеевич</t>
  </si>
  <si>
    <t>Суслиников Данила Александрович</t>
  </si>
  <si>
    <t>Шадрин Иван Алексеевич</t>
  </si>
  <si>
    <t>Бережко Денис Витальевич</t>
  </si>
  <si>
    <t>Богначев Артём Русланович</t>
  </si>
  <si>
    <t>Касаткин Дмитрий Евгеньевич</t>
  </si>
  <si>
    <t>Гневашев Илья Владимирович</t>
  </si>
  <si>
    <t>Тузовский Анатолий Федорович</t>
  </si>
  <si>
    <t>Паокин</t>
  </si>
  <si>
    <t>Вейнгерова Екатерина Дмитриевна</t>
  </si>
  <si>
    <t>Паокин Антон Игоревич</t>
  </si>
  <si>
    <t>Суворкина Любовь Эдуардовна</t>
  </si>
  <si>
    <t>Гусева Анна Викторовна</t>
  </si>
  <si>
    <t>16.06.2025 (ПОНЕДЕЛЬНИК)</t>
  </si>
  <si>
    <t>Группа</t>
  </si>
  <si>
    <t>32ИС</t>
  </si>
  <si>
    <t>35ИС</t>
  </si>
  <si>
    <t>Комиссия:</t>
  </si>
  <si>
    <t>Тузовский</t>
  </si>
  <si>
    <t>Гусева</t>
  </si>
  <si>
    <t>Вейнгерова</t>
  </si>
  <si>
    <t>Хрущенко</t>
  </si>
  <si>
    <t>Горожанкин Николай Евгеньевич</t>
  </si>
  <si>
    <t>Илюшко Сергей Алексеевич</t>
  </si>
  <si>
    <t>Бабенко Егор Константинович</t>
  </si>
  <si>
    <t>Буланов Виталий Сергеевич</t>
  </si>
  <si>
    <t>Дьячков Иван Алексеевич</t>
  </si>
  <si>
    <t>Кононов Даниил Сергеевич</t>
  </si>
  <si>
    <t>Печенин Артём Романович</t>
  </si>
  <si>
    <t>17.06.2025 (ВТОРНИК)</t>
  </si>
  <si>
    <t>18.06.2025 (СРЕДА)</t>
  </si>
  <si>
    <t>Гаврильченко Ксения Ивановна</t>
  </si>
  <si>
    <t>Жаброва Екатерина Сергеевна</t>
  </si>
  <si>
    <t>Желтова Валерия Михайловна</t>
  </si>
  <si>
    <t>Игнатьева Анастасия Олеговна</t>
  </si>
  <si>
    <t>Корчагина Елизавета Павловна</t>
  </si>
  <si>
    <t>Кушеварова Вероника Николаевна</t>
  </si>
  <si>
    <t>Поленок Николь Дмитриевна</t>
  </si>
  <si>
    <t>Сафронова Альбина Александровна</t>
  </si>
  <si>
    <t>Швецова Екатерина Викторовна</t>
  </si>
  <si>
    <t>Думнова Анна Валерьевна</t>
  </si>
  <si>
    <t>Вейнгерова Екатерина Дмириевна</t>
  </si>
  <si>
    <t>19.06.2025 (ЧЕТВЕРГ)</t>
  </si>
  <si>
    <t>Гневашев</t>
  </si>
  <si>
    <t>Суворкина - секретарь</t>
  </si>
  <si>
    <t>РГСУ - председатель</t>
  </si>
  <si>
    <t>20.06.2025 (ПЯТНИЦА)</t>
  </si>
  <si>
    <t>Белов Никита Валерьевич</t>
  </si>
  <si>
    <t>Зеленский Александр Валерьевич</t>
  </si>
  <si>
    <t>Козырский Илья Андреевич</t>
  </si>
  <si>
    <t>Кязымов Хазар Ровшанович</t>
  </si>
  <si>
    <t>Люков Михаил Михайлович</t>
  </si>
  <si>
    <t>Осинкина Виктория Викторовна</t>
  </si>
  <si>
    <t>Отроков Иван Александрович</t>
  </si>
  <si>
    <t>Подкопаев Арсений Геннадьевич</t>
  </si>
  <si>
    <t>Ситюков Илья Алексеевич</t>
  </si>
  <si>
    <t>Сыроватко Яна Константиновна</t>
  </si>
  <si>
    <t>Хазеев Динар Рустамович</t>
  </si>
  <si>
    <t>Цигандт Илья Дмитриевич</t>
  </si>
  <si>
    <t>41ИС</t>
  </si>
  <si>
    <t>Хрущенко Артём Сергеевич</t>
  </si>
  <si>
    <t>Васильев Андрей Владимирович</t>
  </si>
  <si>
    <t>Власова Анастасия Сергеевна</t>
  </si>
  <si>
    <t>Миленина Елизавета Викторовна</t>
  </si>
  <si>
    <t>Нилов Станислав Ильич</t>
  </si>
  <si>
    <t>Стрельникова Виктория Николаевна</t>
  </si>
  <si>
    <t>Тамбовцев Данила Александрович</t>
  </si>
  <si>
    <t>Цапаев Александр Алексеевич</t>
  </si>
  <si>
    <t>23.06.2025 (ПОНЕДЕЛЬНИК)</t>
  </si>
  <si>
    <t>Гузик Григорий Александрович</t>
  </si>
  <si>
    <t>Маскина Мария Алексеевна</t>
  </si>
  <si>
    <t>Парфёнова Афина Спартаковна</t>
  </si>
  <si>
    <t>Федотова Анастасия Яновна</t>
  </si>
  <si>
    <t>Александренко Михаил Владимирович</t>
  </si>
  <si>
    <t>Багдасарян Тигран Каренович</t>
  </si>
  <si>
    <t>Швецов Александр Александрович</t>
  </si>
  <si>
    <t>24.06.2025 (ВТОРНИК)</t>
  </si>
  <si>
    <t>44ИС</t>
  </si>
  <si>
    <t>Гращенко Дмитрий Александрович</t>
  </si>
  <si>
    <t>Иванков Денис Закарович</t>
  </si>
  <si>
    <t>Королев Никита Александрович</t>
  </si>
  <si>
    <t>Мнацаканян Рафаел Юрьевич</t>
  </si>
  <si>
    <t>Остапчук Антон Александрович</t>
  </si>
  <si>
    <t>Полунин Павел Александрович</t>
  </si>
  <si>
    <t>Сапрыкин Станислав Александрович</t>
  </si>
  <si>
    <t>Тудос Дмитрий</t>
  </si>
  <si>
    <t>Хандусь Виктор Сергеевич</t>
  </si>
  <si>
    <t>25.06.2025 (СРЕДА)</t>
  </si>
  <si>
    <t>Ашуров Магамеджон</t>
  </si>
  <si>
    <t>Бутурлин Александр Александрович</t>
  </si>
  <si>
    <t>Быков Никита Станиславович</t>
  </si>
  <si>
    <t>Глазков Данила Сергеевич</t>
  </si>
  <si>
    <t>Зохиров Абдурахмон Ахмаджонович</t>
  </si>
  <si>
    <t>Пастухов Никита Викторович</t>
  </si>
  <si>
    <t>Процык Сергей Павлович</t>
  </si>
  <si>
    <t>Тагиров Раналь Артурович</t>
  </si>
  <si>
    <t>Фролов Егор Кириллович</t>
  </si>
  <si>
    <t>Завьялова Елена Владимировна</t>
  </si>
  <si>
    <t>Барбароща Алина Радионовна</t>
  </si>
  <si>
    <t>Блохина Олеся Сергеевна</t>
  </si>
  <si>
    <t>Гуревич Виктория Григорьевна</t>
  </si>
  <si>
    <t>Доброжан Сандра</t>
  </si>
  <si>
    <t>Корниевский Станислав Александрович</t>
  </si>
  <si>
    <t>Лунькова Елена Дмитриевна</t>
  </si>
  <si>
    <t>Манукян Артур Гагикович</t>
  </si>
  <si>
    <t>Прядко Арина Олеговна</t>
  </si>
  <si>
    <t>Танашов Амир Ринатович</t>
  </si>
  <si>
    <t>ПЕРЕНОС</t>
  </si>
  <si>
    <t>ПЕРЕНОС НА 18.06.25</t>
  </si>
  <si>
    <t>ПЕРЕНОС НА 16.06.25</t>
  </si>
  <si>
    <t>Гневашева И. В.</t>
  </si>
  <si>
    <t>Тузовского А. Ф.</t>
  </si>
  <si>
    <t>Суворкиной Л.Э.</t>
  </si>
  <si>
    <t>Вейнгеровой Е. Д.</t>
  </si>
  <si>
    <t>Паокина А.И.</t>
  </si>
  <si>
    <t>Гусевой А.В.</t>
  </si>
  <si>
    <t>веб</t>
  </si>
  <si>
    <t>32/35ИС</t>
  </si>
  <si>
    <t>44ис</t>
  </si>
  <si>
    <t>заочка</t>
  </si>
  <si>
    <t>43ис</t>
  </si>
  <si>
    <t>Протокол</t>
  </si>
  <si>
    <t>Грибаков Андрей Сергеевич</t>
  </si>
  <si>
    <t>Голубев Владимир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</si>
</sst>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5" fillId="2" borderId="1" xfId="1" applyFont="1" applyFill="1" applyBorder="1" applyAlignment="1">
      <alignment vertical="top"/>
    </xf>
    <xf numFmtId="0" fontId="5" fillId="2" borderId="1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vertical="top"/>
    </xf>
    <xf numFmtId="0" fontId="4" fillId="0" borderId="0" xfId="0" applyFont="1" applyBorder="1" applyAlignment="1">
      <alignment vertical="center"/>
    </xf>
    <xf numFmtId="0" fontId="0" fillId="0" borderId="3" xfId="0" applyFill="1" applyBorder="1"/>
    <xf numFmtId="0" fontId="0" fillId="0" borderId="1" xfId="0" applyFill="1" applyBorder="1"/>
    <xf numFmtId="0" fontId="0" fillId="0" borderId="1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30" zoomScaleNormal="130" workbookViewId="0">
      <selection activeCell="B3" sqref="B3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  <col min="6" max="6" width="13.85546875" customWidth="1"/>
  </cols>
  <sheetData>
    <row r="1" spans="1:7" ht="18.75" x14ac:dyDescent="0.25">
      <c r="A1" s="17" t="s">
        <v>19</v>
      </c>
      <c r="B1" s="17"/>
      <c r="C1" s="17"/>
      <c r="D1" s="17"/>
      <c r="E1" s="10"/>
    </row>
    <row r="2" spans="1:7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18" t="s">
        <v>127</v>
      </c>
    </row>
    <row r="3" spans="1:7" x14ac:dyDescent="0.25">
      <c r="A3" s="3">
        <v>1</v>
      </c>
      <c r="B3" s="4" t="s">
        <v>129</v>
      </c>
      <c r="C3" s="8" t="s">
        <v>21</v>
      </c>
      <c r="D3" s="2" t="s">
        <v>12</v>
      </c>
      <c r="E3">
        <v>1</v>
      </c>
      <c r="F3" t="s">
        <v>113</v>
      </c>
      <c r="G3" t="s">
        <v>116</v>
      </c>
    </row>
    <row r="4" spans="1:7" x14ac:dyDescent="0.25">
      <c r="A4" s="3">
        <v>2</v>
      </c>
      <c r="B4" s="4" t="s">
        <v>3</v>
      </c>
      <c r="C4" s="8" t="s">
        <v>21</v>
      </c>
      <c r="D4" s="2" t="s">
        <v>12</v>
      </c>
      <c r="E4">
        <v>2</v>
      </c>
    </row>
    <row r="5" spans="1:7" x14ac:dyDescent="0.25">
      <c r="A5" s="3">
        <v>3</v>
      </c>
      <c r="B5" s="4" t="s">
        <v>4</v>
      </c>
      <c r="C5" s="8" t="s">
        <v>21</v>
      </c>
      <c r="D5" s="2" t="s">
        <v>13</v>
      </c>
      <c r="E5">
        <v>3</v>
      </c>
      <c r="G5" t="s">
        <v>117</v>
      </c>
    </row>
    <row r="6" spans="1:7" x14ac:dyDescent="0.25">
      <c r="A6" s="3">
        <v>4</v>
      </c>
      <c r="B6" s="4" t="s">
        <v>5</v>
      </c>
      <c r="C6" s="8" t="s">
        <v>21</v>
      </c>
      <c r="D6" s="2" t="s">
        <v>17</v>
      </c>
      <c r="E6">
        <v>4</v>
      </c>
      <c r="G6" t="s">
        <v>118</v>
      </c>
    </row>
    <row r="7" spans="1:7" x14ac:dyDescent="0.25">
      <c r="A7" s="3">
        <v>5</v>
      </c>
      <c r="B7" s="4" t="s">
        <v>6</v>
      </c>
      <c r="C7" s="8" t="s">
        <v>21</v>
      </c>
      <c r="D7" s="2" t="s">
        <v>16</v>
      </c>
      <c r="E7">
        <v>5</v>
      </c>
    </row>
    <row r="8" spans="1:7" x14ac:dyDescent="0.25">
      <c r="A8" s="3">
        <v>6</v>
      </c>
      <c r="B8" s="4" t="s">
        <v>7</v>
      </c>
      <c r="C8" s="8" t="s">
        <v>21</v>
      </c>
      <c r="D8" s="2" t="s">
        <v>15</v>
      </c>
      <c r="E8">
        <v>6</v>
      </c>
      <c r="G8" t="s">
        <v>119</v>
      </c>
    </row>
    <row r="9" spans="1:7" x14ac:dyDescent="0.25">
      <c r="A9" s="3">
        <v>7</v>
      </c>
      <c r="B9" s="4" t="s">
        <v>8</v>
      </c>
      <c r="C9" s="8" t="s">
        <v>21</v>
      </c>
      <c r="D9" s="2" t="s">
        <v>15</v>
      </c>
      <c r="E9">
        <v>7</v>
      </c>
    </row>
    <row r="10" spans="1:7" x14ac:dyDescent="0.25">
      <c r="A10" s="3">
        <v>8</v>
      </c>
      <c r="B10" s="4" t="s">
        <v>9</v>
      </c>
      <c r="C10" s="8" t="s">
        <v>22</v>
      </c>
      <c r="D10" s="4" t="s">
        <v>18</v>
      </c>
      <c r="E10">
        <v>8</v>
      </c>
      <c r="F10" t="s">
        <v>114</v>
      </c>
    </row>
    <row r="11" spans="1:7" x14ac:dyDescent="0.25">
      <c r="A11" s="3">
        <v>9</v>
      </c>
      <c r="B11" s="4" t="s">
        <v>10</v>
      </c>
      <c r="C11" s="8" t="s">
        <v>22</v>
      </c>
      <c r="D11" s="2" t="s">
        <v>16</v>
      </c>
      <c r="E11">
        <v>9</v>
      </c>
      <c r="G11" t="s">
        <v>120</v>
      </c>
    </row>
    <row r="12" spans="1:7" x14ac:dyDescent="0.25">
      <c r="A12" s="3">
        <v>10</v>
      </c>
      <c r="B12" s="4" t="s">
        <v>11</v>
      </c>
      <c r="C12" s="8" t="s">
        <v>22</v>
      </c>
      <c r="D12" s="2" t="s">
        <v>12</v>
      </c>
      <c r="E12">
        <v>10</v>
      </c>
    </row>
    <row r="14" spans="1:7" x14ac:dyDescent="0.25">
      <c r="B14" s="9" t="s">
        <v>23</v>
      </c>
    </row>
    <row r="15" spans="1:7" x14ac:dyDescent="0.25">
      <c r="B15" s="9" t="s">
        <v>51</v>
      </c>
    </row>
    <row r="16" spans="1:7" x14ac:dyDescent="0.25">
      <c r="B16" t="s">
        <v>27</v>
      </c>
    </row>
    <row r="17" spans="2:2" x14ac:dyDescent="0.25">
      <c r="B17" t="s">
        <v>25</v>
      </c>
    </row>
    <row r="18" spans="2:2" x14ac:dyDescent="0.25">
      <c r="B18" t="s">
        <v>49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C9" sqref="B9:C9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</cols>
  <sheetData>
    <row r="1" spans="1:7" ht="18.75" x14ac:dyDescent="0.25">
      <c r="A1" s="17" t="s">
        <v>35</v>
      </c>
      <c r="B1" s="17"/>
      <c r="C1" s="17"/>
      <c r="D1" s="17"/>
      <c r="E1" s="10"/>
    </row>
    <row r="2" spans="1:7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  <c r="G2" t="s">
        <v>116</v>
      </c>
    </row>
    <row r="3" spans="1:7" x14ac:dyDescent="0.25">
      <c r="A3" s="3">
        <v>1</v>
      </c>
      <c r="B3" s="7" t="s">
        <v>28</v>
      </c>
      <c r="C3" s="8" t="s">
        <v>21</v>
      </c>
      <c r="D3" s="2" t="s">
        <v>13</v>
      </c>
      <c r="E3">
        <v>11</v>
      </c>
    </row>
    <row r="4" spans="1:7" x14ac:dyDescent="0.25">
      <c r="A4" s="3">
        <v>2</v>
      </c>
      <c r="B4" s="7" t="s">
        <v>29</v>
      </c>
      <c r="C4" s="8" t="s">
        <v>21</v>
      </c>
      <c r="D4" s="2" t="s">
        <v>13</v>
      </c>
      <c r="E4">
        <v>12</v>
      </c>
      <c r="G4" t="s">
        <v>117</v>
      </c>
    </row>
    <row r="5" spans="1:7" x14ac:dyDescent="0.25">
      <c r="A5" s="3">
        <v>3</v>
      </c>
      <c r="B5" s="7" t="s">
        <v>30</v>
      </c>
      <c r="C5" s="8" t="s">
        <v>22</v>
      </c>
      <c r="D5" s="2" t="s">
        <v>16</v>
      </c>
      <c r="E5">
        <v>13</v>
      </c>
      <c r="G5" t="s">
        <v>118</v>
      </c>
    </row>
    <row r="6" spans="1:7" x14ac:dyDescent="0.25">
      <c r="A6" s="3">
        <v>4</v>
      </c>
      <c r="B6" s="7" t="s">
        <v>31</v>
      </c>
      <c r="C6" s="8" t="s">
        <v>22</v>
      </c>
      <c r="D6" s="2" t="s">
        <v>17</v>
      </c>
      <c r="E6">
        <v>14</v>
      </c>
    </row>
    <row r="7" spans="1:7" x14ac:dyDescent="0.25">
      <c r="A7" s="3">
        <v>5</v>
      </c>
      <c r="B7" s="7" t="s">
        <v>32</v>
      </c>
      <c r="C7" s="8" t="s">
        <v>22</v>
      </c>
      <c r="D7" s="2" t="s">
        <v>12</v>
      </c>
      <c r="E7">
        <v>15</v>
      </c>
      <c r="G7" t="s">
        <v>119</v>
      </c>
    </row>
    <row r="8" spans="1:7" x14ac:dyDescent="0.25">
      <c r="A8" s="3">
        <v>6</v>
      </c>
      <c r="B8" s="7" t="s">
        <v>33</v>
      </c>
      <c r="C8" s="8" t="s">
        <v>22</v>
      </c>
      <c r="D8" s="2" t="s">
        <v>17</v>
      </c>
      <c r="E8">
        <v>16</v>
      </c>
    </row>
    <row r="9" spans="1:7" x14ac:dyDescent="0.25">
      <c r="A9" s="3">
        <v>7</v>
      </c>
      <c r="B9" s="4" t="s">
        <v>34</v>
      </c>
      <c r="C9" s="8" t="s">
        <v>22</v>
      </c>
      <c r="D9" s="4" t="s">
        <v>18</v>
      </c>
      <c r="E9">
        <v>17</v>
      </c>
    </row>
    <row r="10" spans="1:7" x14ac:dyDescent="0.25">
      <c r="A10" s="3">
        <v>8</v>
      </c>
      <c r="B10" s="4"/>
      <c r="C10" s="8"/>
      <c r="D10" s="2"/>
      <c r="G10" t="s">
        <v>120</v>
      </c>
    </row>
    <row r="11" spans="1:7" x14ac:dyDescent="0.25">
      <c r="A11" s="3">
        <v>9</v>
      </c>
      <c r="B11" s="4"/>
      <c r="C11" s="8"/>
      <c r="D11" s="2"/>
      <c r="G11" t="s">
        <v>121</v>
      </c>
    </row>
    <row r="12" spans="1:7" x14ac:dyDescent="0.25">
      <c r="A12" s="3">
        <v>10</v>
      </c>
      <c r="B12" s="4"/>
      <c r="C12" s="8"/>
      <c r="D12" s="2"/>
    </row>
    <row r="14" spans="1:7" x14ac:dyDescent="0.25">
      <c r="B14" s="9" t="s">
        <v>23</v>
      </c>
    </row>
    <row r="15" spans="1:7" x14ac:dyDescent="0.25">
      <c r="B15" s="9" t="s">
        <v>51</v>
      </c>
    </row>
    <row r="16" spans="1:7" x14ac:dyDescent="0.25">
      <c r="B16" t="s">
        <v>27</v>
      </c>
    </row>
    <row r="17" spans="2:2" x14ac:dyDescent="0.25">
      <c r="B17" t="s">
        <v>25</v>
      </c>
    </row>
    <row r="18" spans="2:2" x14ac:dyDescent="0.25">
      <c r="B18" t="s">
        <v>26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B7" sqref="B7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</cols>
  <sheetData>
    <row r="1" spans="1:6" ht="18.75" x14ac:dyDescent="0.25">
      <c r="A1" s="17" t="s">
        <v>36</v>
      </c>
      <c r="B1" s="17"/>
      <c r="C1" s="17"/>
      <c r="D1" s="17"/>
      <c r="E1" s="10"/>
    </row>
    <row r="2" spans="1:6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6" x14ac:dyDescent="0.25">
      <c r="A3" s="3">
        <v>1</v>
      </c>
      <c r="B3" s="7" t="s">
        <v>37</v>
      </c>
      <c r="C3" s="8" t="s">
        <v>21</v>
      </c>
      <c r="D3" s="2" t="s">
        <v>47</v>
      </c>
      <c r="E3">
        <v>18</v>
      </c>
    </row>
    <row r="4" spans="1:6" x14ac:dyDescent="0.25">
      <c r="A4" s="3">
        <v>2</v>
      </c>
      <c r="B4" s="7" t="s">
        <v>38</v>
      </c>
      <c r="C4" s="8" t="s">
        <v>21</v>
      </c>
      <c r="D4" s="2" t="s">
        <v>12</v>
      </c>
      <c r="E4">
        <v>19</v>
      </c>
    </row>
    <row r="5" spans="1:6" x14ac:dyDescent="0.25">
      <c r="A5" s="3">
        <v>3</v>
      </c>
      <c r="B5" s="7" t="s">
        <v>39</v>
      </c>
      <c r="C5" s="8" t="s">
        <v>21</v>
      </c>
      <c r="D5" s="2" t="s">
        <v>17</v>
      </c>
      <c r="E5">
        <v>20</v>
      </c>
    </row>
    <row r="6" spans="1:6" x14ac:dyDescent="0.25">
      <c r="A6" s="3">
        <v>4</v>
      </c>
      <c r="B6" s="7" t="s">
        <v>40</v>
      </c>
      <c r="C6" s="8" t="s">
        <v>21</v>
      </c>
      <c r="D6" s="2" t="s">
        <v>12</v>
      </c>
      <c r="E6">
        <v>21</v>
      </c>
    </row>
    <row r="7" spans="1:6" x14ac:dyDescent="0.25">
      <c r="A7" s="3">
        <v>5</v>
      </c>
      <c r="B7" s="4" t="s">
        <v>41</v>
      </c>
      <c r="C7" s="8" t="s">
        <v>21</v>
      </c>
      <c r="D7" s="2" t="s">
        <v>12</v>
      </c>
      <c r="E7">
        <v>22</v>
      </c>
    </row>
    <row r="8" spans="1:6" x14ac:dyDescent="0.25">
      <c r="A8" s="3">
        <v>6</v>
      </c>
      <c r="B8" s="7" t="s">
        <v>42</v>
      </c>
      <c r="C8" s="8" t="s">
        <v>21</v>
      </c>
      <c r="D8" s="2" t="s">
        <v>47</v>
      </c>
      <c r="E8">
        <v>23</v>
      </c>
    </row>
    <row r="9" spans="1:6" x14ac:dyDescent="0.25">
      <c r="A9" s="3">
        <v>7</v>
      </c>
      <c r="B9" s="7" t="s">
        <v>43</v>
      </c>
      <c r="C9" s="8" t="s">
        <v>21</v>
      </c>
      <c r="D9" s="11" t="s">
        <v>13</v>
      </c>
      <c r="E9">
        <v>24</v>
      </c>
    </row>
    <row r="10" spans="1:6" x14ac:dyDescent="0.25">
      <c r="A10" s="3">
        <v>8</v>
      </c>
      <c r="B10" s="7" t="s">
        <v>44</v>
      </c>
      <c r="C10" s="8" t="s">
        <v>21</v>
      </c>
      <c r="D10" s="4" t="s">
        <v>18</v>
      </c>
      <c r="E10">
        <v>25</v>
      </c>
    </row>
    <row r="11" spans="1:6" x14ac:dyDescent="0.25">
      <c r="A11" s="3">
        <v>9</v>
      </c>
      <c r="B11" s="7" t="s">
        <v>45</v>
      </c>
      <c r="C11" s="8" t="s">
        <v>21</v>
      </c>
      <c r="D11" s="4" t="s">
        <v>18</v>
      </c>
      <c r="E11">
        <v>26</v>
      </c>
      <c r="F11" t="s">
        <v>115</v>
      </c>
    </row>
    <row r="12" spans="1:6" x14ac:dyDescent="0.25">
      <c r="A12" s="3">
        <v>10</v>
      </c>
      <c r="B12" s="7" t="s">
        <v>46</v>
      </c>
      <c r="C12" s="8" t="s">
        <v>22</v>
      </c>
      <c r="D12" s="2" t="s">
        <v>16</v>
      </c>
      <c r="E12">
        <v>27</v>
      </c>
    </row>
    <row r="14" spans="1:6" x14ac:dyDescent="0.25">
      <c r="B14" s="9" t="s">
        <v>23</v>
      </c>
    </row>
    <row r="15" spans="1:6" x14ac:dyDescent="0.25">
      <c r="B15" s="9" t="s">
        <v>51</v>
      </c>
    </row>
    <row r="16" spans="1:6" x14ac:dyDescent="0.25">
      <c r="B16" t="s">
        <v>27</v>
      </c>
    </row>
    <row r="17" spans="2:2" x14ac:dyDescent="0.25">
      <c r="B17" t="s">
        <v>25</v>
      </c>
    </row>
    <row r="18" spans="2:2" x14ac:dyDescent="0.25">
      <c r="B18" t="s">
        <v>26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E16" sqref="E16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  <col min="9" max="9" width="17.28515625" customWidth="1"/>
  </cols>
  <sheetData>
    <row r="1" spans="1:5" ht="18.75" x14ac:dyDescent="0.25">
      <c r="A1" s="17" t="s">
        <v>48</v>
      </c>
      <c r="B1" s="17"/>
      <c r="C1" s="17"/>
      <c r="D1" s="17"/>
      <c r="E1" s="10"/>
    </row>
    <row r="2" spans="1:5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5" x14ac:dyDescent="0.25">
      <c r="A3" s="3">
        <v>1</v>
      </c>
      <c r="B3" s="7" t="s">
        <v>53</v>
      </c>
      <c r="C3" s="8" t="s">
        <v>65</v>
      </c>
      <c r="D3" s="2" t="s">
        <v>12</v>
      </c>
      <c r="E3">
        <v>28</v>
      </c>
    </row>
    <row r="4" spans="1:5" x14ac:dyDescent="0.25">
      <c r="A4" s="3">
        <v>2</v>
      </c>
      <c r="B4" s="7" t="s">
        <v>54</v>
      </c>
      <c r="C4" s="8" t="s">
        <v>65</v>
      </c>
      <c r="D4" s="2" t="s">
        <v>47</v>
      </c>
      <c r="E4">
        <v>29</v>
      </c>
    </row>
    <row r="5" spans="1:5" x14ac:dyDescent="0.25">
      <c r="A5" s="3">
        <v>3</v>
      </c>
      <c r="B5" s="7" t="s">
        <v>55</v>
      </c>
      <c r="C5" s="8" t="s">
        <v>65</v>
      </c>
      <c r="D5" s="2" t="s">
        <v>66</v>
      </c>
      <c r="E5">
        <v>30</v>
      </c>
    </row>
    <row r="6" spans="1:5" x14ac:dyDescent="0.25">
      <c r="A6" s="3">
        <v>4</v>
      </c>
      <c r="B6" s="7" t="s">
        <v>56</v>
      </c>
      <c r="C6" s="8" t="s">
        <v>65</v>
      </c>
      <c r="D6" s="2" t="s">
        <v>66</v>
      </c>
      <c r="E6">
        <v>31</v>
      </c>
    </row>
    <row r="7" spans="1:5" x14ac:dyDescent="0.25">
      <c r="A7" s="3">
        <v>5</v>
      </c>
      <c r="B7" s="7" t="s">
        <v>57</v>
      </c>
      <c r="C7" s="8" t="s">
        <v>65</v>
      </c>
      <c r="D7" s="2" t="s">
        <v>12</v>
      </c>
      <c r="E7">
        <v>32</v>
      </c>
    </row>
    <row r="8" spans="1:5" x14ac:dyDescent="0.25">
      <c r="A8" s="3">
        <v>6</v>
      </c>
      <c r="B8" s="7" t="s">
        <v>58</v>
      </c>
      <c r="C8" s="8" t="s">
        <v>65</v>
      </c>
      <c r="D8" s="2" t="s">
        <v>66</v>
      </c>
      <c r="E8">
        <v>33</v>
      </c>
    </row>
    <row r="9" spans="1:5" x14ac:dyDescent="0.25">
      <c r="A9" s="3">
        <v>7</v>
      </c>
      <c r="B9" s="7" t="s">
        <v>59</v>
      </c>
      <c r="C9" s="8" t="s">
        <v>65</v>
      </c>
      <c r="D9" s="2" t="s">
        <v>12</v>
      </c>
      <c r="E9">
        <v>34</v>
      </c>
    </row>
    <row r="10" spans="1:5" x14ac:dyDescent="0.25">
      <c r="A10" s="3">
        <v>8</v>
      </c>
      <c r="B10" s="7" t="s">
        <v>60</v>
      </c>
      <c r="C10" s="8" t="s">
        <v>65</v>
      </c>
      <c r="D10" s="2" t="s">
        <v>66</v>
      </c>
      <c r="E10">
        <v>35</v>
      </c>
    </row>
    <row r="11" spans="1:5" x14ac:dyDescent="0.25">
      <c r="A11" s="3">
        <v>9</v>
      </c>
      <c r="B11" s="7" t="s">
        <v>61</v>
      </c>
      <c r="C11" s="8" t="s">
        <v>65</v>
      </c>
      <c r="D11" s="12" t="s">
        <v>13</v>
      </c>
      <c r="E11">
        <v>36</v>
      </c>
    </row>
    <row r="12" spans="1:5" x14ac:dyDescent="0.25">
      <c r="A12" s="3">
        <v>10</v>
      </c>
      <c r="B12" s="7" t="s">
        <v>62</v>
      </c>
      <c r="C12" s="8" t="s">
        <v>65</v>
      </c>
      <c r="D12" s="2" t="s">
        <v>16</v>
      </c>
      <c r="E12">
        <v>37</v>
      </c>
    </row>
    <row r="13" spans="1:5" x14ac:dyDescent="0.25">
      <c r="A13" s="3">
        <v>11</v>
      </c>
      <c r="B13" s="7" t="s">
        <v>63</v>
      </c>
      <c r="C13" s="8" t="s">
        <v>65</v>
      </c>
      <c r="D13" s="2" t="s">
        <v>47</v>
      </c>
      <c r="E13">
        <v>38</v>
      </c>
    </row>
    <row r="14" spans="1:5" x14ac:dyDescent="0.25">
      <c r="A14" s="3">
        <v>12</v>
      </c>
      <c r="B14" s="7" t="s">
        <v>64</v>
      </c>
      <c r="C14" s="8" t="s">
        <v>65</v>
      </c>
      <c r="D14" s="2" t="s">
        <v>47</v>
      </c>
      <c r="E14">
        <v>39</v>
      </c>
    </row>
    <row r="15" spans="1:5" x14ac:dyDescent="0.25">
      <c r="D15" s="11" t="s">
        <v>122</v>
      </c>
      <c r="E15">
        <f>E14+11</f>
        <v>50</v>
      </c>
    </row>
    <row r="16" spans="1:5" x14ac:dyDescent="0.25">
      <c r="B16" s="9" t="s">
        <v>23</v>
      </c>
    </row>
    <row r="17" spans="2:2" x14ac:dyDescent="0.25">
      <c r="B17" s="9" t="s">
        <v>51</v>
      </c>
    </row>
    <row r="18" spans="2:2" x14ac:dyDescent="0.25">
      <c r="B18" s="9" t="s">
        <v>27</v>
      </c>
    </row>
    <row r="19" spans="2:2" x14ac:dyDescent="0.25">
      <c r="B19" t="s">
        <v>14</v>
      </c>
    </row>
    <row r="20" spans="2:2" x14ac:dyDescent="0.25">
      <c r="B20" s="9" t="s">
        <v>49</v>
      </c>
    </row>
    <row r="21" spans="2:2" x14ac:dyDescent="0.25">
      <c r="B21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activeCell="E7" sqref="E7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  <col min="9" max="9" width="12.28515625" customWidth="1"/>
  </cols>
  <sheetData>
    <row r="1" spans="1:6" ht="15.75" x14ac:dyDescent="0.25">
      <c r="A1" s="15" t="s">
        <v>0</v>
      </c>
      <c r="B1" s="15" t="s">
        <v>1</v>
      </c>
      <c r="C1" s="15" t="s">
        <v>20</v>
      </c>
      <c r="D1" s="15" t="s">
        <v>2</v>
      </c>
      <c r="E1" s="16" t="s">
        <v>127</v>
      </c>
    </row>
    <row r="2" spans="1:6" x14ac:dyDescent="0.25">
      <c r="A2" s="3">
        <v>1</v>
      </c>
      <c r="B2" s="7" t="s">
        <v>67</v>
      </c>
      <c r="C2" s="8" t="s">
        <v>65</v>
      </c>
      <c r="D2" s="2" t="s">
        <v>66</v>
      </c>
      <c r="E2">
        <v>51</v>
      </c>
    </row>
    <row r="3" spans="1:6" x14ac:dyDescent="0.25">
      <c r="A3" s="3">
        <v>2</v>
      </c>
      <c r="B3" s="7" t="s">
        <v>68</v>
      </c>
      <c r="C3" s="8" t="s">
        <v>65</v>
      </c>
      <c r="D3" s="2" t="s">
        <v>66</v>
      </c>
      <c r="E3">
        <v>52</v>
      </c>
    </row>
    <row r="4" spans="1:6" x14ac:dyDescent="0.25">
      <c r="A4" s="3">
        <v>3</v>
      </c>
      <c r="B4" s="7" t="s">
        <v>69</v>
      </c>
      <c r="C4" s="8" t="s">
        <v>65</v>
      </c>
      <c r="D4" s="2" t="s">
        <v>12</v>
      </c>
      <c r="E4">
        <v>53</v>
      </c>
    </row>
    <row r="5" spans="1:6" x14ac:dyDescent="0.25">
      <c r="A5" s="3">
        <v>4</v>
      </c>
      <c r="B5" s="7" t="s">
        <v>70</v>
      </c>
      <c r="C5" s="8" t="s">
        <v>65</v>
      </c>
      <c r="D5" s="11" t="s">
        <v>13</v>
      </c>
      <c r="E5">
        <v>54</v>
      </c>
      <c r="F5" t="s">
        <v>115</v>
      </c>
    </row>
    <row r="6" spans="1:6" x14ac:dyDescent="0.25">
      <c r="A6" s="3">
        <v>5</v>
      </c>
      <c r="B6" s="7" t="s">
        <v>71</v>
      </c>
      <c r="C6" s="8" t="s">
        <v>65</v>
      </c>
      <c r="D6" s="2" t="s">
        <v>47</v>
      </c>
      <c r="E6">
        <v>55</v>
      </c>
    </row>
    <row r="7" spans="1:6" x14ac:dyDescent="0.25">
      <c r="A7" s="3">
        <v>6</v>
      </c>
      <c r="B7" s="7" t="s">
        <v>72</v>
      </c>
      <c r="C7" s="8" t="s">
        <v>65</v>
      </c>
      <c r="D7" s="11" t="s">
        <v>13</v>
      </c>
      <c r="E7">
        <v>56</v>
      </c>
    </row>
    <row r="8" spans="1:6" x14ac:dyDescent="0.25">
      <c r="A8" s="3">
        <v>7</v>
      </c>
      <c r="B8" s="7" t="s">
        <v>73</v>
      </c>
      <c r="C8" s="8" t="s">
        <v>65</v>
      </c>
      <c r="D8" s="2" t="s">
        <v>66</v>
      </c>
      <c r="E8">
        <v>57</v>
      </c>
    </row>
    <row r="9" spans="1:6" x14ac:dyDescent="0.25">
      <c r="A9" s="3">
        <v>8</v>
      </c>
      <c r="B9" s="4" t="s">
        <v>128</v>
      </c>
      <c r="C9" s="14" t="s">
        <v>65</v>
      </c>
      <c r="D9" s="4" t="s">
        <v>47</v>
      </c>
      <c r="E9">
        <f>E8+11</f>
        <v>68</v>
      </c>
    </row>
    <row r="10" spans="1:6" x14ac:dyDescent="0.25">
      <c r="A10" s="3">
        <v>9</v>
      </c>
      <c r="B10" s="7"/>
      <c r="C10" s="8"/>
      <c r="D10" s="4"/>
    </row>
    <row r="11" spans="1:6" x14ac:dyDescent="0.25">
      <c r="A11" s="3">
        <v>10</v>
      </c>
      <c r="B11" s="7"/>
      <c r="C11" s="8"/>
      <c r="D11" s="2"/>
    </row>
    <row r="13" spans="1:6" x14ac:dyDescent="0.25">
      <c r="B13" s="9" t="s">
        <v>23</v>
      </c>
    </row>
    <row r="14" spans="1:6" x14ac:dyDescent="0.25">
      <c r="B14" s="9" t="s">
        <v>51</v>
      </c>
    </row>
    <row r="15" spans="1:6" x14ac:dyDescent="0.25">
      <c r="B15" s="9" t="s">
        <v>27</v>
      </c>
    </row>
    <row r="16" spans="1:6" x14ac:dyDescent="0.25">
      <c r="B16" t="s">
        <v>14</v>
      </c>
    </row>
    <row r="17" spans="2:2" x14ac:dyDescent="0.25">
      <c r="B17" s="9" t="s">
        <v>49</v>
      </c>
    </row>
    <row r="18" spans="2:2" x14ac:dyDescent="0.25">
      <c r="B18" t="s">
        <v>50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5A1F-B3A6-4CC7-856F-5D0DA93DD54F}">
  <dimension ref="A1:F12"/>
  <sheetViews>
    <sheetView workbookViewId="0">
      <selection activeCell="E3" sqref="E3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  <col min="9" max="9" width="12.28515625" customWidth="1"/>
  </cols>
  <sheetData>
    <row r="1" spans="1:6" ht="18.75" x14ac:dyDescent="0.25">
      <c r="A1" s="17" t="s">
        <v>52</v>
      </c>
      <c r="B1" s="17"/>
      <c r="C1" s="17"/>
      <c r="D1" s="17"/>
      <c r="E1" s="10"/>
    </row>
    <row r="2" spans="1:6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6" x14ac:dyDescent="0.25">
      <c r="A3" s="3">
        <v>8</v>
      </c>
      <c r="B3" s="4" t="s">
        <v>125</v>
      </c>
      <c r="C3" s="8"/>
      <c r="D3" s="4"/>
      <c r="E3">
        <f>'20.06.25'!E9+14</f>
        <v>82</v>
      </c>
    </row>
    <row r="4" spans="1:6" x14ac:dyDescent="0.25">
      <c r="A4" s="3">
        <v>9</v>
      </c>
      <c r="B4" s="7"/>
      <c r="C4" s="8"/>
      <c r="D4" s="4"/>
    </row>
    <row r="5" spans="1:6" x14ac:dyDescent="0.25">
      <c r="A5" s="3">
        <v>10</v>
      </c>
      <c r="B5" s="7"/>
      <c r="C5" s="8"/>
      <c r="D5" s="2"/>
    </row>
    <row r="7" spans="1:6" x14ac:dyDescent="0.25">
      <c r="B7" s="9" t="s">
        <v>23</v>
      </c>
    </row>
    <row r="8" spans="1:6" x14ac:dyDescent="0.25">
      <c r="B8" s="9" t="s">
        <v>51</v>
      </c>
    </row>
    <row r="9" spans="1:6" x14ac:dyDescent="0.25">
      <c r="B9" s="9" t="s">
        <v>27</v>
      </c>
    </row>
    <row r="10" spans="1:6" s="1" customFormat="1" x14ac:dyDescent="0.25">
      <c r="A10"/>
      <c r="B10" t="s">
        <v>14</v>
      </c>
      <c r="D10"/>
      <c r="E10"/>
      <c r="F10"/>
    </row>
    <row r="11" spans="1:6" s="1" customFormat="1" x14ac:dyDescent="0.25">
      <c r="A11"/>
      <c r="B11" s="9" t="s">
        <v>49</v>
      </c>
      <c r="D11"/>
      <c r="E11"/>
      <c r="F11"/>
    </row>
    <row r="12" spans="1:6" s="1" customFormat="1" x14ac:dyDescent="0.25">
      <c r="A12"/>
      <c r="B12" t="s">
        <v>50</v>
      </c>
      <c r="D12"/>
      <c r="E12"/>
      <c r="F1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selection activeCell="E4" sqref="E4:E10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</cols>
  <sheetData>
    <row r="1" spans="1:5" ht="18.75" x14ac:dyDescent="0.25">
      <c r="A1" s="17" t="s">
        <v>74</v>
      </c>
      <c r="B1" s="17"/>
      <c r="C1" s="17"/>
      <c r="D1" s="17"/>
      <c r="E1" s="10"/>
    </row>
    <row r="2" spans="1:5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5" x14ac:dyDescent="0.25">
      <c r="A3" s="3">
        <v>1</v>
      </c>
      <c r="B3" s="13" t="s">
        <v>79</v>
      </c>
      <c r="C3" s="8" t="s">
        <v>65</v>
      </c>
      <c r="D3" s="2" t="s">
        <v>12</v>
      </c>
      <c r="E3" s="6">
        <f>14+'20.06.25'!E9+1</f>
        <v>83</v>
      </c>
    </row>
    <row r="4" spans="1:5" x14ac:dyDescent="0.25">
      <c r="A4" s="3">
        <v>2</v>
      </c>
      <c r="B4" s="13" t="s">
        <v>80</v>
      </c>
      <c r="C4" s="8" t="s">
        <v>65</v>
      </c>
      <c r="D4" s="2" t="s">
        <v>16</v>
      </c>
      <c r="E4" s="6">
        <v>84</v>
      </c>
    </row>
    <row r="5" spans="1:5" x14ac:dyDescent="0.25">
      <c r="A5" s="3">
        <v>3</v>
      </c>
      <c r="B5" s="7" t="s">
        <v>75</v>
      </c>
      <c r="C5" s="8" t="s">
        <v>65</v>
      </c>
      <c r="D5" s="2" t="s">
        <v>16</v>
      </c>
      <c r="E5" s="6">
        <v>85</v>
      </c>
    </row>
    <row r="6" spans="1:5" x14ac:dyDescent="0.25">
      <c r="A6" s="3">
        <v>4</v>
      </c>
      <c r="B6" s="7" t="s">
        <v>76</v>
      </c>
      <c r="C6" s="8" t="s">
        <v>65</v>
      </c>
      <c r="D6" s="2" t="s">
        <v>66</v>
      </c>
      <c r="E6" s="6">
        <v>86</v>
      </c>
    </row>
    <row r="7" spans="1:5" x14ac:dyDescent="0.25">
      <c r="A7" s="3">
        <v>5</v>
      </c>
      <c r="B7" s="7" t="s">
        <v>77</v>
      </c>
      <c r="C7" s="8" t="s">
        <v>65</v>
      </c>
      <c r="D7" s="2" t="s">
        <v>16</v>
      </c>
      <c r="E7" s="6">
        <v>87</v>
      </c>
    </row>
    <row r="8" spans="1:5" x14ac:dyDescent="0.25">
      <c r="A8" s="3">
        <v>6</v>
      </c>
      <c r="B8" s="4" t="s">
        <v>78</v>
      </c>
      <c r="C8" s="14" t="s">
        <v>65</v>
      </c>
      <c r="D8" s="2" t="s">
        <v>17</v>
      </c>
      <c r="E8" s="6">
        <v>88</v>
      </c>
    </row>
    <row r="9" spans="1:5" x14ac:dyDescent="0.25">
      <c r="A9" s="3">
        <v>7</v>
      </c>
      <c r="B9" s="7" t="s">
        <v>81</v>
      </c>
      <c r="C9" s="8" t="s">
        <v>65</v>
      </c>
      <c r="D9" s="11" t="s">
        <v>13</v>
      </c>
      <c r="E9" s="6">
        <v>89</v>
      </c>
    </row>
    <row r="10" spans="1:5" x14ac:dyDescent="0.25">
      <c r="A10" s="3">
        <v>8</v>
      </c>
      <c r="B10" s="7" t="s">
        <v>112</v>
      </c>
      <c r="C10" s="8" t="s">
        <v>65</v>
      </c>
      <c r="D10" s="4" t="s">
        <v>18</v>
      </c>
      <c r="E10" s="6">
        <v>90</v>
      </c>
    </row>
    <row r="11" spans="1:5" x14ac:dyDescent="0.25">
      <c r="A11" s="3">
        <v>9</v>
      </c>
      <c r="B11" s="7"/>
      <c r="C11" s="8"/>
      <c r="D11" s="4"/>
    </row>
    <row r="12" spans="1:5" x14ac:dyDescent="0.25">
      <c r="A12" s="3">
        <v>10</v>
      </c>
      <c r="B12" s="7"/>
      <c r="C12" s="8"/>
      <c r="D12" s="8"/>
    </row>
    <row r="14" spans="1:5" x14ac:dyDescent="0.25">
      <c r="B14" s="9" t="s">
        <v>23</v>
      </c>
    </row>
    <row r="15" spans="1:5" x14ac:dyDescent="0.25">
      <c r="B15" s="9" t="s">
        <v>51</v>
      </c>
    </row>
    <row r="16" spans="1:5" x14ac:dyDescent="0.25">
      <c r="B16" s="9" t="s">
        <v>27</v>
      </c>
    </row>
    <row r="17" spans="2:2" x14ac:dyDescent="0.25">
      <c r="B17" t="s">
        <v>14</v>
      </c>
    </row>
    <row r="18" spans="2:2" x14ac:dyDescent="0.25">
      <c r="B18" s="9" t="s">
        <v>24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E3" sqref="E3:E11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</cols>
  <sheetData>
    <row r="1" spans="1:5" ht="18.75" x14ac:dyDescent="0.25">
      <c r="A1" s="17" t="s">
        <v>82</v>
      </c>
      <c r="B1" s="17"/>
      <c r="C1" s="17"/>
      <c r="D1" s="17"/>
      <c r="E1" s="10"/>
    </row>
    <row r="2" spans="1:5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5" x14ac:dyDescent="0.25">
      <c r="A3" s="3">
        <v>1</v>
      </c>
      <c r="B3" s="13" t="s">
        <v>84</v>
      </c>
      <c r="C3" s="8" t="s">
        <v>83</v>
      </c>
      <c r="D3" s="11" t="s">
        <v>13</v>
      </c>
      <c r="E3" s="6">
        <v>91</v>
      </c>
    </row>
    <row r="4" spans="1:5" x14ac:dyDescent="0.25">
      <c r="A4" s="3">
        <v>2</v>
      </c>
      <c r="B4" s="13" t="s">
        <v>85</v>
      </c>
      <c r="C4" s="8" t="s">
        <v>83</v>
      </c>
      <c r="D4" s="2" t="s">
        <v>66</v>
      </c>
      <c r="E4" s="6">
        <v>92</v>
      </c>
    </row>
    <row r="5" spans="1:5" x14ac:dyDescent="0.25">
      <c r="A5" s="3">
        <v>3</v>
      </c>
      <c r="B5" s="7" t="s">
        <v>86</v>
      </c>
      <c r="C5" s="8" t="s">
        <v>83</v>
      </c>
      <c r="D5" s="2" t="s">
        <v>47</v>
      </c>
      <c r="E5" s="6">
        <v>93</v>
      </c>
    </row>
    <row r="6" spans="1:5" x14ac:dyDescent="0.25">
      <c r="A6" s="3">
        <v>4</v>
      </c>
      <c r="B6" s="7" t="s">
        <v>87</v>
      </c>
      <c r="C6" s="8" t="s">
        <v>83</v>
      </c>
      <c r="D6" s="2" t="s">
        <v>66</v>
      </c>
      <c r="E6" s="6">
        <v>94</v>
      </c>
    </row>
    <row r="7" spans="1:5" x14ac:dyDescent="0.25">
      <c r="A7" s="3">
        <v>5</v>
      </c>
      <c r="B7" s="7" t="s">
        <v>88</v>
      </c>
      <c r="C7" s="8" t="s">
        <v>83</v>
      </c>
      <c r="D7" s="2" t="s">
        <v>47</v>
      </c>
      <c r="E7" s="6">
        <v>95</v>
      </c>
    </row>
    <row r="8" spans="1:5" x14ac:dyDescent="0.25">
      <c r="A8" s="3">
        <v>6</v>
      </c>
      <c r="B8" s="7" t="s">
        <v>89</v>
      </c>
      <c r="C8" s="8" t="s">
        <v>83</v>
      </c>
      <c r="D8" s="11" t="s">
        <v>13</v>
      </c>
      <c r="E8" s="6">
        <v>96</v>
      </c>
    </row>
    <row r="9" spans="1:5" x14ac:dyDescent="0.25">
      <c r="A9" s="3">
        <v>7</v>
      </c>
      <c r="B9" s="7" t="s">
        <v>90</v>
      </c>
      <c r="C9" s="8" t="s">
        <v>83</v>
      </c>
      <c r="D9" s="2" t="s">
        <v>66</v>
      </c>
      <c r="E9" s="6">
        <v>97</v>
      </c>
    </row>
    <row r="10" spans="1:5" x14ac:dyDescent="0.25">
      <c r="A10" s="3">
        <v>8</v>
      </c>
      <c r="B10" s="7" t="s">
        <v>91</v>
      </c>
      <c r="C10" s="8" t="s">
        <v>83</v>
      </c>
      <c r="D10" s="12" t="s">
        <v>13</v>
      </c>
      <c r="E10" s="6">
        <v>98</v>
      </c>
    </row>
    <row r="11" spans="1:5" x14ac:dyDescent="0.25">
      <c r="A11" s="3">
        <v>9</v>
      </c>
      <c r="B11" s="7" t="s">
        <v>92</v>
      </c>
      <c r="C11" s="8" t="s">
        <v>83</v>
      </c>
      <c r="D11" s="12" t="s">
        <v>13</v>
      </c>
      <c r="E11" s="6">
        <v>99</v>
      </c>
    </row>
    <row r="12" spans="1:5" x14ac:dyDescent="0.25">
      <c r="A12" s="3">
        <v>10</v>
      </c>
      <c r="B12" s="7"/>
      <c r="C12" s="8"/>
      <c r="D12" s="8"/>
    </row>
    <row r="14" spans="1:5" x14ac:dyDescent="0.25">
      <c r="B14" s="9" t="s">
        <v>23</v>
      </c>
    </row>
    <row r="15" spans="1:5" x14ac:dyDescent="0.25">
      <c r="B15" s="9" t="s">
        <v>51</v>
      </c>
    </row>
    <row r="16" spans="1:5" x14ac:dyDescent="0.25">
      <c r="B16" s="9" t="s">
        <v>49</v>
      </c>
    </row>
    <row r="17" spans="2:2" x14ac:dyDescent="0.25">
      <c r="B17" t="s">
        <v>14</v>
      </c>
    </row>
    <row r="18" spans="2:2" x14ac:dyDescent="0.25">
      <c r="B18" s="9" t="s">
        <v>26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activeCell="E3" sqref="E3:E11"/>
    </sheetView>
  </sheetViews>
  <sheetFormatPr defaultRowHeight="15" x14ac:dyDescent="0.25"/>
  <cols>
    <col min="1" max="1" width="4.28515625" customWidth="1"/>
    <col min="2" max="2" width="36.7109375" customWidth="1"/>
    <col min="3" max="3" width="11.5703125" style="1" customWidth="1"/>
    <col min="4" max="4" width="34.42578125" customWidth="1"/>
    <col min="5" max="5" width="35" customWidth="1"/>
  </cols>
  <sheetData>
    <row r="1" spans="1:5" ht="18.75" x14ac:dyDescent="0.25">
      <c r="A1" s="17" t="s">
        <v>93</v>
      </c>
      <c r="B1" s="17"/>
      <c r="C1" s="17"/>
      <c r="D1" s="17"/>
      <c r="E1" s="10"/>
    </row>
    <row r="2" spans="1:5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5" x14ac:dyDescent="0.25">
      <c r="A3" s="3">
        <v>1</v>
      </c>
      <c r="B3" s="13" t="s">
        <v>94</v>
      </c>
      <c r="C3" s="8" t="s">
        <v>83</v>
      </c>
      <c r="D3" s="11" t="s">
        <v>16</v>
      </c>
      <c r="E3" s="6">
        <v>100</v>
      </c>
    </row>
    <row r="4" spans="1:5" x14ac:dyDescent="0.25">
      <c r="A4" s="3">
        <v>2</v>
      </c>
      <c r="B4" s="13" t="s">
        <v>95</v>
      </c>
      <c r="C4" s="8" t="s">
        <v>83</v>
      </c>
      <c r="D4" s="2" t="s">
        <v>47</v>
      </c>
      <c r="E4" s="6">
        <v>101</v>
      </c>
    </row>
    <row r="5" spans="1:5" x14ac:dyDescent="0.25">
      <c r="A5" s="3">
        <v>3</v>
      </c>
      <c r="B5" s="7" t="s">
        <v>96</v>
      </c>
      <c r="C5" s="8" t="s">
        <v>83</v>
      </c>
      <c r="D5" s="2" t="s">
        <v>103</v>
      </c>
      <c r="E5" s="6">
        <v>102</v>
      </c>
    </row>
    <row r="6" spans="1:5" x14ac:dyDescent="0.25">
      <c r="A6" s="3">
        <v>4</v>
      </c>
      <c r="B6" s="7" t="s">
        <v>97</v>
      </c>
      <c r="C6" s="8" t="s">
        <v>83</v>
      </c>
      <c r="D6" s="11" t="s">
        <v>16</v>
      </c>
      <c r="E6" s="6">
        <v>103</v>
      </c>
    </row>
    <row r="7" spans="1:5" x14ac:dyDescent="0.25">
      <c r="A7" s="3">
        <v>5</v>
      </c>
      <c r="B7" s="7" t="s">
        <v>98</v>
      </c>
      <c r="C7" s="8" t="s">
        <v>83</v>
      </c>
      <c r="D7" s="2" t="s">
        <v>66</v>
      </c>
      <c r="E7" s="6">
        <v>104</v>
      </c>
    </row>
    <row r="8" spans="1:5" x14ac:dyDescent="0.25">
      <c r="A8" s="3">
        <v>6</v>
      </c>
      <c r="B8" s="7" t="s">
        <v>99</v>
      </c>
      <c r="C8" s="8" t="s">
        <v>83</v>
      </c>
      <c r="D8" s="2" t="s">
        <v>103</v>
      </c>
      <c r="E8" s="6">
        <v>105</v>
      </c>
    </row>
    <row r="9" spans="1:5" x14ac:dyDescent="0.25">
      <c r="A9" s="3">
        <v>7</v>
      </c>
      <c r="B9" s="7" t="s">
        <v>100</v>
      </c>
      <c r="C9" s="8" t="s">
        <v>83</v>
      </c>
      <c r="D9" s="12" t="s">
        <v>18</v>
      </c>
      <c r="E9" s="6">
        <v>106</v>
      </c>
    </row>
    <row r="10" spans="1:5" x14ac:dyDescent="0.25">
      <c r="A10" s="3">
        <v>8</v>
      </c>
      <c r="B10" s="7" t="s">
        <v>101</v>
      </c>
      <c r="C10" s="8" t="s">
        <v>83</v>
      </c>
      <c r="D10" s="12" t="s">
        <v>18</v>
      </c>
      <c r="E10" s="6">
        <v>107</v>
      </c>
    </row>
    <row r="11" spans="1:5" x14ac:dyDescent="0.25">
      <c r="A11" s="3">
        <v>9</v>
      </c>
      <c r="B11" s="7" t="s">
        <v>102</v>
      </c>
      <c r="C11" s="8" t="s">
        <v>83</v>
      </c>
      <c r="D11" s="12" t="s">
        <v>18</v>
      </c>
      <c r="E11" s="6">
        <v>108</v>
      </c>
    </row>
    <row r="12" spans="1:5" x14ac:dyDescent="0.25">
      <c r="A12" s="3">
        <v>10</v>
      </c>
      <c r="B12" s="7"/>
      <c r="C12" s="8"/>
      <c r="D12" s="8"/>
    </row>
    <row r="14" spans="1:5" x14ac:dyDescent="0.25">
      <c r="B14" s="9" t="s">
        <v>23</v>
      </c>
    </row>
    <row r="15" spans="1:5" x14ac:dyDescent="0.25">
      <c r="B15" s="9" t="s">
        <v>51</v>
      </c>
    </row>
    <row r="16" spans="1:5" x14ac:dyDescent="0.25">
      <c r="B16" s="9" t="s">
        <v>49</v>
      </c>
    </row>
    <row r="17" spans="2:2" x14ac:dyDescent="0.25">
      <c r="B17" t="s">
        <v>14</v>
      </c>
    </row>
    <row r="18" spans="2:2" x14ac:dyDescent="0.25">
      <c r="B18" s="9" t="s">
        <v>25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E3" sqref="E3:E10"/>
    </sheetView>
  </sheetViews>
  <sheetFormatPr defaultRowHeight="15" x14ac:dyDescent="0.25"/>
  <cols>
    <col min="1" max="1" width="4.28515625" customWidth="1"/>
    <col min="2" max="2" width="37.5703125" customWidth="1"/>
    <col min="3" max="3" width="11.5703125" style="1" customWidth="1"/>
    <col min="4" max="4" width="34.42578125" customWidth="1"/>
    <col min="5" max="5" width="35" customWidth="1"/>
  </cols>
  <sheetData>
    <row r="1" spans="1:5" ht="18.75" x14ac:dyDescent="0.25">
      <c r="A1" s="17" t="s">
        <v>93</v>
      </c>
      <c r="B1" s="17"/>
      <c r="C1" s="17"/>
      <c r="D1" s="17"/>
      <c r="E1" s="10"/>
    </row>
    <row r="2" spans="1:5" ht="15.75" x14ac:dyDescent="0.25">
      <c r="A2" s="5" t="s">
        <v>0</v>
      </c>
      <c r="B2" s="5" t="s">
        <v>1</v>
      </c>
      <c r="C2" s="5" t="s">
        <v>20</v>
      </c>
      <c r="D2" s="5" t="s">
        <v>2</v>
      </c>
      <c r="E2" s="6"/>
    </row>
    <row r="3" spans="1:5" x14ac:dyDescent="0.25">
      <c r="A3" s="3">
        <v>1</v>
      </c>
      <c r="B3" s="13" t="s">
        <v>104</v>
      </c>
      <c r="C3" s="8" t="s">
        <v>83</v>
      </c>
      <c r="D3" s="2" t="s">
        <v>103</v>
      </c>
      <c r="E3" s="6">
        <v>109</v>
      </c>
    </row>
    <row r="4" spans="1:5" x14ac:dyDescent="0.25">
      <c r="A4" s="3">
        <v>2</v>
      </c>
      <c r="B4" s="13" t="s">
        <v>105</v>
      </c>
      <c r="C4" s="8" t="s">
        <v>83</v>
      </c>
      <c r="D4" s="2" t="s">
        <v>103</v>
      </c>
      <c r="E4" s="6">
        <v>110</v>
      </c>
    </row>
    <row r="5" spans="1:5" x14ac:dyDescent="0.25">
      <c r="A5" s="3">
        <v>3</v>
      </c>
      <c r="B5" s="7" t="s">
        <v>106</v>
      </c>
      <c r="C5" s="8" t="s">
        <v>83</v>
      </c>
      <c r="D5" s="2" t="s">
        <v>103</v>
      </c>
      <c r="E5" s="6">
        <v>111</v>
      </c>
    </row>
    <row r="6" spans="1:5" x14ac:dyDescent="0.25">
      <c r="A6" s="3">
        <v>4</v>
      </c>
      <c r="B6" s="7" t="s">
        <v>107</v>
      </c>
      <c r="C6" s="8" t="s">
        <v>83</v>
      </c>
      <c r="D6" s="2" t="s">
        <v>103</v>
      </c>
      <c r="E6" s="6">
        <v>112</v>
      </c>
    </row>
    <row r="7" spans="1:5" x14ac:dyDescent="0.25">
      <c r="A7" s="3">
        <v>5</v>
      </c>
      <c r="B7" s="7" t="s">
        <v>108</v>
      </c>
      <c r="C7" s="8" t="s">
        <v>83</v>
      </c>
      <c r="D7" s="12" t="s">
        <v>18</v>
      </c>
      <c r="E7" s="6">
        <v>113</v>
      </c>
    </row>
    <row r="8" spans="1:5" x14ac:dyDescent="0.25">
      <c r="A8" s="3">
        <v>6</v>
      </c>
      <c r="B8" s="7" t="s">
        <v>109</v>
      </c>
      <c r="C8" s="8" t="s">
        <v>83</v>
      </c>
      <c r="D8" s="12" t="s">
        <v>18</v>
      </c>
      <c r="E8" s="6">
        <v>114</v>
      </c>
    </row>
    <row r="9" spans="1:5" x14ac:dyDescent="0.25">
      <c r="A9" s="3">
        <v>7</v>
      </c>
      <c r="B9" s="7" t="s">
        <v>110</v>
      </c>
      <c r="C9" s="8" t="s">
        <v>83</v>
      </c>
      <c r="D9" s="11" t="s">
        <v>16</v>
      </c>
      <c r="E9" s="6">
        <v>115</v>
      </c>
    </row>
    <row r="10" spans="1:5" x14ac:dyDescent="0.25">
      <c r="A10" s="3">
        <v>8</v>
      </c>
      <c r="B10" s="7" t="s">
        <v>111</v>
      </c>
      <c r="C10" s="8" t="s">
        <v>83</v>
      </c>
      <c r="D10" s="12" t="s">
        <v>15</v>
      </c>
      <c r="E10" s="6">
        <v>116</v>
      </c>
    </row>
    <row r="11" spans="1:5" x14ac:dyDescent="0.25">
      <c r="A11" s="3">
        <v>9</v>
      </c>
      <c r="B11" s="7"/>
      <c r="C11" s="8"/>
      <c r="D11" s="12"/>
    </row>
    <row r="12" spans="1:5" x14ac:dyDescent="0.25">
      <c r="A12" s="3">
        <v>10</v>
      </c>
      <c r="B12" s="7"/>
      <c r="C12" s="8"/>
      <c r="D12" s="8"/>
    </row>
    <row r="14" spans="1:5" x14ac:dyDescent="0.25">
      <c r="B14" s="9" t="s">
        <v>23</v>
      </c>
    </row>
    <row r="15" spans="1:5" x14ac:dyDescent="0.25">
      <c r="B15" s="9" t="s">
        <v>51</v>
      </c>
    </row>
    <row r="16" spans="1:5" x14ac:dyDescent="0.25">
      <c r="B16" s="9" t="s">
        <v>27</v>
      </c>
    </row>
    <row r="17" spans="2:2" x14ac:dyDescent="0.25">
      <c r="B17" t="s">
        <v>14</v>
      </c>
    </row>
    <row r="18" spans="2:2" x14ac:dyDescent="0.25">
      <c r="B18" s="9" t="s">
        <v>25</v>
      </c>
    </row>
    <row r="19" spans="2:2" x14ac:dyDescent="0.25">
      <c r="B19" t="s">
        <v>50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0CAA-7E83-42D9-9153-AC470A9089DA}">
  <dimension ref="B4:C9"/>
  <sheetViews>
    <sheetView workbookViewId="0">
      <selection activeCell="C8" sqref="C8"/>
    </sheetView>
  </sheetViews>
  <sheetFormatPr defaultRowHeight="15" x14ac:dyDescent="0.25"/>
  <sheetData>
    <row r="4" spans="2:3" x14ac:dyDescent="0.25">
      <c r="B4" t="s">
        <v>123</v>
      </c>
      <c r="C4">
        <v>27</v>
      </c>
    </row>
    <row r="5" spans="2:3" x14ac:dyDescent="0.25">
      <c r="B5" t="s">
        <v>65</v>
      </c>
      <c r="C5">
        <v>27</v>
      </c>
    </row>
    <row r="6" spans="2:3" x14ac:dyDescent="0.25">
      <c r="B6" t="s">
        <v>124</v>
      </c>
      <c r="C6">
        <v>26</v>
      </c>
    </row>
    <row r="7" spans="2:3" x14ac:dyDescent="0.25">
      <c r="B7" t="s">
        <v>126</v>
      </c>
      <c r="C7">
        <v>22</v>
      </c>
    </row>
    <row r="8" spans="2:3" x14ac:dyDescent="0.25">
      <c r="B8" t="s">
        <v>125</v>
      </c>
      <c r="C8">
        <v>14</v>
      </c>
    </row>
    <row r="9" spans="2:3" x14ac:dyDescent="0.25">
      <c r="C9">
        <f>SUM(C4:C8)</f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16.06.25</vt:lpstr>
      <vt:lpstr>17.06.25</vt:lpstr>
      <vt:lpstr>18.06.25</vt:lpstr>
      <vt:lpstr>19.06.25</vt:lpstr>
      <vt:lpstr>20.06.25</vt:lpstr>
      <vt:lpstr>21.06.25 (заочка)</vt:lpstr>
      <vt:lpstr>23.06.25</vt:lpstr>
      <vt:lpstr>24.06.25</vt:lpstr>
      <vt:lpstr>25.06.25</vt:lpstr>
      <vt:lpstr>26.06.25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Гусева</dc:creator>
  <cp:lastModifiedBy>205</cp:lastModifiedBy>
  <dcterms:created xsi:type="dcterms:W3CDTF">2025-06-11T06:23:31Z</dcterms:created>
  <dcterms:modified xsi:type="dcterms:W3CDTF">2026-05-28T11:14:10Z</dcterms:modified>
</cp:coreProperties>
</file>